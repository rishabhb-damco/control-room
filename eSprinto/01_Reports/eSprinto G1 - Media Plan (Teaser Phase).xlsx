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Plan" sheetId="1" state="visible" r:id="rId1"/>
    <sheet xmlns:r="http://schemas.openxmlformats.org/officeDocument/2006/relationships" name="Audience Targeting" sheetId="2" state="visible" r:id="rId2"/>
    <sheet xmlns:r="http://schemas.openxmlformats.org/officeDocument/2006/relationships" name="Road Map" sheetId="3" state="visible" r:id="rId3"/>
    <sheet xmlns:r="http://schemas.openxmlformats.org/officeDocument/2006/relationships" name="Detailed Media Plan" sheetId="4" state="visible" r:id="rId4"/>
    <sheet xmlns:r="http://schemas.openxmlformats.org/officeDocument/2006/relationships" name="Multiple Projections" sheetId="5" state="visible" r:id="rId5"/>
    <sheet xmlns:r="http://schemas.openxmlformats.org/officeDocument/2006/relationships" name="Creative Strategy Requir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s.&quot;#,##0"/>
    <numFmt numFmtId="165" formatCode="&quot;Rs.&quot;#,##0.00"/>
    <numFmt numFmtId="166" formatCode="#,##0.0"/>
    <numFmt numFmtId="167" formatCode="0.00&quot;x&quot;"/>
    <numFmt numFmtId="168" formatCode="yyyy-mm-dd h:mm:ss"/>
    <numFmt numFmtId="169" formatCode="dd-mmm-yyyy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sz val="9"/>
    </font>
    <font>
      <name val="Calibri"/>
      <b val="1"/>
      <sz val="13"/>
    </font>
    <font>
      <name val="Calibri"/>
      <i val="1"/>
      <sz val="10"/>
    </font>
    <font>
      <name val="Calibri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0" borderId="1" pivotButton="0" quotePrefix="0" xfId="0"/>
    <xf numFmtId="0" fontId="5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10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167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4" fillId="0" borderId="0" pivotButton="0" quotePrefix="0" xfId="0"/>
    <xf numFmtId="1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169" fontId="8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eSprinto G1 - Paid Media Plan - Teaser Phase</t>
        </is>
      </c>
    </row>
    <row r="2" ht="16" customHeight="1">
      <c r="A2" s="2" t="inlineStr">
        <is>
          <t>22 September - 12 October 2026  |  Platform: Meta (Facebook + Instagram) only  |  Scenario shown: Moderate (recommended base case) - all figures below are live formulas linked to 'Multiple Projections'</t>
        </is>
      </c>
    </row>
    <row r="4" ht="20" customHeight="1">
      <c r="A4" s="3" t="inlineStr">
        <is>
          <t>Campaign Summary</t>
        </is>
      </c>
    </row>
    <row r="5" ht="32" customHeight="1">
      <c r="A5" s="4" t="inlineStr">
        <is>
          <t>Campaign / Ad Set</t>
        </is>
      </c>
      <c r="B5" s="4" t="inlineStr">
        <is>
          <t>Duration</t>
        </is>
      </c>
      <c r="C5" s="4" t="inlineStr">
        <is>
          <t>Objective</t>
        </is>
      </c>
      <c r="D5" s="4" t="inlineStr">
        <is>
          <t>Total Budget</t>
        </is>
      </c>
      <c r="E5" s="4" t="inlineStr">
        <is>
          <t>Audience Size</t>
        </is>
      </c>
      <c r="F5" s="4" t="inlineStr">
        <is>
          <t>Impressions</t>
        </is>
      </c>
      <c r="G5" s="4" t="inlineStr">
        <is>
          <t>Reach</t>
        </is>
      </c>
      <c r="H5" s="4" t="inlineStr">
        <is>
          <t>Leads / Follows</t>
        </is>
      </c>
    </row>
    <row r="6" ht="18" customHeight="1">
      <c r="A6" s="5" t="inlineStr">
        <is>
          <t>Campaign 1 - Awareness (Post Boosting)</t>
        </is>
      </c>
      <c r="B6" s="6" t="inlineStr">
        <is>
          <t>22 Sept - 12 Oct (21 days)</t>
        </is>
      </c>
      <c r="C6" s="6" t="inlineStr">
        <is>
          <t>Brand Awareness + Reach</t>
        </is>
      </c>
      <c r="D6" s="7">
        <f>'Multiple Projections'!D7</f>
        <v/>
      </c>
      <c r="E6" s="8">
        <f>'Multiple Projections'!I7</f>
        <v/>
      </c>
      <c r="F6" s="9">
        <f>'Multiple Projections'!F7</f>
        <v/>
      </c>
      <c r="G6" s="9">
        <f>'Multiple Projections'!H7</f>
        <v/>
      </c>
      <c r="H6" s="9">
        <f>'Multiple Projections'!R7</f>
        <v/>
      </c>
    </row>
    <row r="7" ht="18" customHeight="1">
      <c r="A7" s="5" t="inlineStr">
        <is>
          <t>Campaign 2 / Ad Set 2A - Broad Audience (Prospecting)</t>
        </is>
      </c>
      <c r="B7" s="6" t="inlineStr">
        <is>
          <t>3 Oct - 12 Oct (10 days)</t>
        </is>
      </c>
      <c r="C7" s="6" t="inlineStr">
        <is>
          <t>Lead Gen - Pre-Booking / Test Ride Interest</t>
        </is>
      </c>
      <c r="D7" s="7">
        <f>'Multiple Projections'!B13</f>
        <v/>
      </c>
      <c r="E7" s="8">
        <f>'Multiple Projections'!G13</f>
        <v/>
      </c>
      <c r="F7" s="9">
        <f>'Multiple Projections'!D13</f>
        <v/>
      </c>
      <c r="G7" s="9">
        <f>'Multiple Projections'!F13</f>
        <v/>
      </c>
      <c r="H7" s="9">
        <f>'Multiple Projections'!P13</f>
        <v/>
      </c>
    </row>
    <row r="8" ht="18" customHeight="1">
      <c r="A8" s="5" t="inlineStr">
        <is>
          <t>Campaign 2 / Ad Set 2B - Warm Pool (Remarketing)</t>
        </is>
      </c>
      <c r="B8" s="6" t="inlineStr">
        <is>
          <t>3 Oct - 12 Oct (10 days)</t>
        </is>
      </c>
      <c r="C8" s="6" t="inlineStr">
        <is>
          <t>Lead Gen - Pre-Booking / Test Ride Interest</t>
        </is>
      </c>
      <c r="D8" s="7">
        <f>'Multiple Projections'!H19</f>
        <v/>
      </c>
      <c r="E8" s="8">
        <f>'Multiple Projections'!B19</f>
        <v/>
      </c>
      <c r="F8" s="9">
        <f>'Multiple Projections'!D19</f>
        <v/>
      </c>
      <c r="G8" s="9">
        <f>'Multiple Projections'!E19</f>
        <v/>
      </c>
      <c r="H8" s="9">
        <f>'Multiple Projections'!P19</f>
        <v/>
      </c>
    </row>
    <row r="9" ht="18" customHeight="1">
      <c r="A9" s="5" t="inlineStr">
        <is>
          <t>Campaign 2 Total (2A + 2B)</t>
        </is>
      </c>
      <c r="B9" s="10" t="inlineStr">
        <is>
          <t>3 Oct - 12 Oct (10 days)</t>
        </is>
      </c>
      <c r="C9" s="10" t="inlineStr">
        <is>
          <t>-</t>
        </is>
      </c>
      <c r="D9" s="11">
        <f>'Multiple Projections'!H25</f>
        <v/>
      </c>
      <c r="E9" s="12" t="inlineStr">
        <is>
          <t>-</t>
        </is>
      </c>
      <c r="F9" s="13">
        <f>'Multiple Projections'!D13+'Multiple Projections'!D19</f>
        <v/>
      </c>
      <c r="G9" s="13" t="inlineStr">
        <is>
          <t>-</t>
        </is>
      </c>
      <c r="H9" s="13">
        <f>'Multiple Projections'!I25</f>
        <v/>
      </c>
    </row>
    <row r="10" ht="18" customHeight="1">
      <c r="A10" s="5" t="inlineStr">
        <is>
          <t>TEASER PHASE TOTAL</t>
        </is>
      </c>
      <c r="B10" s="10" t="inlineStr">
        <is>
          <t>22 Sept - 12 Oct</t>
        </is>
      </c>
      <c r="C10" s="10" t="inlineStr">
        <is>
          <t>-</t>
        </is>
      </c>
      <c r="D10" s="11">
        <f>'Multiple Projections'!J25</f>
        <v/>
      </c>
      <c r="E10" s="12" t="inlineStr">
        <is>
          <t>-</t>
        </is>
      </c>
      <c r="F10" s="13">
        <f>'Multiple Projections'!F7+'Multiple Projections'!D13+'Multiple Projections'!D19</f>
        <v/>
      </c>
      <c r="G10" s="13" t="inlineStr">
        <is>
          <t>-</t>
        </is>
      </c>
      <c r="H10" s="13">
        <f>'Multiple Projections'!K25</f>
        <v/>
      </c>
    </row>
    <row r="12" ht="20" customHeight="1">
      <c r="A12" s="3" t="inlineStr">
        <is>
          <t>Scope Notes</t>
        </is>
      </c>
    </row>
    <row r="13" ht="32" customHeight="1">
      <c r="A13" s="14" t="inlineStr">
        <is>
          <t>Platforms in this phase</t>
        </is>
      </c>
      <c r="B13" s="15" t="inlineStr">
        <is>
          <t>Meta only. Google Ads, ShareChat and ChatGPT Ads are not part of Teaser - they begin at Launch (13 Oct 2026).</t>
        </is>
      </c>
    </row>
    <row r="14" ht="32" customHeight="1">
      <c r="A14" s="14" t="inlineStr">
        <is>
          <t>Posts boosted (Campaign 1)</t>
        </is>
      </c>
      <c r="B14" s="15" t="inlineStr">
        <is>
          <t>5-10 posts (changed from an earlier 26-post plan). This file uses 7 posts as the Moderate/base case; see 'Multiple Projections' for the 5-post and 10-post scenarios.</t>
        </is>
      </c>
    </row>
    <row r="15" ht="32" customHeight="1">
      <c r="A15" s="14" t="inlineStr">
        <is>
          <t>Campaign 2 structure</t>
        </is>
      </c>
      <c r="B15" s="15" t="inlineStr">
        <is>
          <t>Pre-Booking runs as one campaign with two ad sets: 2A targets the broad/cold Facebook audience (same targeting as Campaign 1) as the primary volume driver, and 2B retargets the Campaign 1 warm pool as a smaller remarketing layer.</t>
        </is>
      </c>
    </row>
    <row r="16" ht="32" customHeight="1">
      <c r="A16" s="14" t="inlineStr">
        <is>
          <t>Influencers</t>
        </is>
      </c>
      <c r="B16" s="15" t="inlineStr">
        <is>
          <t>Excluded from this media plan for now - to be scoped and confirmed as a separate workstream.</t>
        </is>
      </c>
    </row>
    <row r="17" ht="32" customHeight="1">
      <c r="A17" s="14" t="inlineStr">
        <is>
          <t>Test ride / pre-booking destination</t>
        </is>
      </c>
      <c r="B17" s="15" t="inlineStr">
        <is>
          <t>Website or Meta Instant Form - to be A/B tested once live. Not a blocker for this plan; both paths are budgeted identically.</t>
        </is>
      </c>
    </row>
    <row r="18" ht="32" customHeight="1">
      <c r="A18" s="14" t="inlineStr">
        <is>
          <t>Why no product/marketplace CTA in Teaser</t>
        </is>
      </c>
      <c r="B18" s="15" t="inlineStr">
        <is>
          <t>eSprinto cannot list or sell the scooter anywhere until the 13 Oct launch. Campaign 1 asks only for attention (watch/follow); Campaign 2 asks only for pre-registration - never for purchase.</t>
        </is>
      </c>
    </row>
    <row r="19" ht="32" customHeight="1">
      <c r="A19" s="14" t="inlineStr">
        <is>
          <t>Full scenario breakdown + full funnel</t>
        </is>
      </c>
      <c r="B19" s="15" t="inlineStr">
        <is>
          <t>See 'Multiple Projections' for Conservative / Moderate / Aggressive numbers, and 'Detailed Media Plan' for the complete Impressions -&gt; CTR -&gt; Clicks -&gt; CVR -&gt; Leads breakdown per campaign / ad set.</t>
        </is>
      </c>
    </row>
    <row r="20" ht="32" customHeight="1">
      <c r="A20" s="14" t="inlineStr">
        <is>
          <t>Editing this plan</t>
        </is>
      </c>
      <c r="B20" s="15" t="inlineStr">
        <is>
          <t>Every number on this sheet is a formula pulling from 'Multiple Projections'. To test a different number with the client, edit the input cells (white, unformatted-as-formula) in 'Multiple Projections' - everything here updates automatically.</t>
        </is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eSprinto G1 - Audience Targeting - Teaser Phase</t>
        </is>
      </c>
    </row>
    <row r="3" ht="20" customHeight="1">
      <c r="A3" s="3" t="inlineStr">
        <is>
          <t>Campaign 1 - Cold Audience (C1)</t>
        </is>
      </c>
    </row>
    <row r="4" ht="34" customHeight="1">
      <c r="A4" s="14" t="inlineStr">
        <is>
          <t>Target group</t>
        </is>
      </c>
      <c r="B4" s="15" t="inlineStr">
        <is>
          <t>EV-aware adults actively interested in electric two-wheelers and sustainable transport</t>
        </is>
      </c>
    </row>
    <row r="5" ht="34" customHeight="1">
      <c r="A5" s="14" t="inlineStr">
        <is>
          <t>Age</t>
        </is>
      </c>
      <c r="B5" s="15" t="inlineStr">
        <is>
          <t>22 - 50</t>
        </is>
      </c>
    </row>
    <row r="6" ht="34" customHeight="1">
      <c r="A6" s="14" t="inlineStr">
        <is>
          <t>Gender</t>
        </is>
      </c>
      <c r="B6" s="15" t="inlineStr">
        <is>
          <t>All</t>
        </is>
      </c>
    </row>
    <row r="7" ht="34" customHeight="1">
      <c r="A7" s="14" t="inlineStr">
        <is>
          <t>Locations (28 cities)</t>
        </is>
      </c>
      <c r="B7" s="15" t="inlineStr">
        <is>
          <t>Guntur, Vijayawada, Hyderabad, Nizamabad, Bangalore, Mysuru, Mangalore, Chennai, Coimbatore, Kochi, Calicut, Thiruvananthapuram, Ahmedabad, Surat, Vadodara, Mumbai, Pune, Nagpur, Nashik, Aurangabad, Panaji (Goa), Indore, Bhopal, Ghaziabad, Noida, Jaipur, Jodhpur, Udaipur</t>
        </is>
      </c>
    </row>
    <row r="8" ht="34" customHeight="1">
      <c r="A8" s="14" t="inlineStr">
        <is>
          <t>Interests - Additional interests</t>
        </is>
      </c>
      <c r="B8" s="15" t="inlineStr">
        <is>
          <t>Electric motorcycles and scooters, Electric bicycle, Hybrid electric vehicle, Motorcycle accessories, Sustainable transport</t>
        </is>
      </c>
    </row>
    <row r="9" ht="34" customHeight="1">
      <c r="A9" s="14" t="inlineStr">
        <is>
          <t>Interests - Hobbies &amp; activities &gt; Vehicles</t>
        </is>
      </c>
      <c r="B9" s="15" t="inlineStr">
        <is>
          <t>Electric vehicle, Hybrids, Motorcycles, Scooters</t>
        </is>
      </c>
    </row>
    <row r="10" ht="34" customHeight="1">
      <c r="A10" s="14" t="inlineStr">
        <is>
          <t>Audience size (Meta estimate)</t>
        </is>
      </c>
      <c r="B10" s="15" t="inlineStr">
        <is>
          <t>2,00,00,000 - 3,00,00,000 (Awareness objective, 28-city footprint)</t>
        </is>
      </c>
    </row>
    <row r="11" ht="34" customHeight="1">
      <c r="A11" s="14" t="inlineStr">
        <is>
          <t>Placement</t>
        </is>
      </c>
      <c r="B11" s="15" t="inlineStr">
        <is>
          <t>Advantage+ placements (Instagram Reels prioritised for awareness)</t>
        </is>
      </c>
    </row>
    <row r="12" ht="34" customHeight="1">
      <c r="A12" s="14" t="inlineStr">
        <is>
          <t>Optimisation goal</t>
        </is>
      </c>
      <c r="B12" s="15" t="inlineStr">
        <is>
          <t>Reach - maximise unique people reached, not clicks or leads</t>
        </is>
      </c>
    </row>
    <row r="13" ht="34" customHeight="1">
      <c r="A13" s="14" t="inlineStr">
        <is>
          <t>Exclusion</t>
        </is>
      </c>
      <c r="B13" s="15" t="inlineStr">
        <is>
          <t>Custom audience: all Meta page engagers BEFORE 22 Sept 2026 (excludes B2B dealership-recruitment audience contamination)</t>
        </is>
      </c>
    </row>
    <row r="15" ht="20" customHeight="1">
      <c r="A15" s="3" t="inlineStr">
        <is>
          <t>Campaign 2 / Ad Set 2A - Broad Audience (Prospecting)</t>
        </is>
      </c>
    </row>
    <row r="16" ht="34" customHeight="1">
      <c r="A16" s="14" t="inlineStr">
        <is>
          <t>Target group</t>
        </is>
      </c>
      <c r="B16" s="15" t="inlineStr">
        <is>
          <t>Same targeting as Campaign 1 - EV-aware adults interested in electric two-wheelers and sustainable transport. Not warm-pool-dependent, so this ad set can run at full scale from day one of Campaign 2 regardless of how the Campaign 1 warm pool is tracking.</t>
        </is>
      </c>
    </row>
    <row r="17" ht="34" customHeight="1">
      <c r="A17" s="14" t="inlineStr">
        <is>
          <t>Age / Gender / Locations</t>
        </is>
      </c>
      <c r="B17" s="15" t="inlineStr">
        <is>
          <t>22 - 50, all genders, same 28 cities as Campaign 1</t>
        </is>
      </c>
    </row>
    <row r="18" ht="34" customHeight="1">
      <c r="A18" s="14" t="inlineStr">
        <is>
          <t>Interests</t>
        </is>
      </c>
      <c r="B18" s="15" t="inlineStr">
        <is>
          <t>Same interest stack as Campaign 1 (see above)</t>
        </is>
      </c>
    </row>
    <row r="19" ht="34" customHeight="1">
      <c r="A19" s="14" t="inlineStr">
        <is>
          <t>Audience size (Meta estimate)</t>
        </is>
      </c>
      <c r="B19" s="15" t="inlineStr">
        <is>
          <t>2,00,00,000 - 3,00,00,000 - same pool as Campaign 1, but this ad set optimises for Leads, not Reach, so Meta's auction and CPM behave differently even on identical targeting</t>
        </is>
      </c>
    </row>
    <row r="20" ht="34" customHeight="1">
      <c r="A20" s="14" t="inlineStr">
        <is>
          <t>Placement</t>
        </is>
      </c>
      <c r="B20" s="15" t="inlineStr">
        <is>
          <t>Advantage+ placements</t>
        </is>
      </c>
    </row>
    <row r="21" ht="34" customHeight="1">
      <c r="A21" s="14" t="inlineStr">
        <is>
          <t>Optimisation goal</t>
        </is>
      </c>
      <c r="B21" s="15" t="inlineStr">
        <is>
          <t>Leads (Meta Lead Form completion) or link clicks to website - destination TBD</t>
        </is>
      </c>
    </row>
    <row r="22" ht="34" customHeight="1">
      <c r="A22" s="14" t="inlineStr">
        <is>
          <t>Exclusion</t>
        </is>
      </c>
      <c r="B22" s="15" t="inlineStr">
        <is>
          <t>Same B2B exclusion as Campaign 1: all page engagers BEFORE 22 Sept 2026</t>
        </is>
      </c>
    </row>
    <row r="23" ht="34" customHeight="1">
      <c r="A23" s="14" t="inlineStr">
        <is>
          <t>CTA</t>
        </is>
      </c>
      <c r="B23" s="15" t="inlineStr">
        <is>
          <t>Register Interest / Book a Test Ride - 'eSprinto G1 launches 13 Oct - reserve your spot'</t>
        </is>
      </c>
    </row>
    <row r="24" ht="34" customHeight="1">
      <c r="A24" s="14" t="inlineStr">
        <is>
          <t>Lead form fields (if Instant Form used)</t>
        </is>
      </c>
      <c r="B24" s="15" t="inlineStr">
        <is>
          <t>Name, Phone number, City, 'When are you planning to buy a scooter?'</t>
        </is>
      </c>
    </row>
    <row r="25" ht="34" customHeight="1">
      <c r="A25" s="14" t="inlineStr">
        <is>
          <t>Why this is now the primary pre-booking driver</t>
        </is>
      </c>
      <c r="B25" s="15" t="inlineStr">
        <is>
          <t>Broad audience volume does not depend on Campaign 1's warm-pool build-up, so it is not capped by post count or engagement timing the way pure retargeting is. This is the main lever for pre-booking lead volume.</t>
        </is>
      </c>
    </row>
    <row r="27" ht="20" customHeight="1">
      <c r="A27" s="3" t="inlineStr">
        <is>
          <t>Campaign 2 / Ad Set 2B - Warm Pool (Remarketing)</t>
        </is>
      </c>
    </row>
    <row r="28" ht="34" customHeight="1">
      <c r="A28" s="14" t="inlineStr">
        <is>
          <t>Target group</t>
        </is>
      </c>
      <c r="B28" s="15" t="inlineStr">
        <is>
          <t>B2C warm audience - people who engaged with eSprinto content after 22 Sept 2026 only. Supplementary to 2A, not the primary volume source.</t>
        </is>
      </c>
    </row>
    <row r="29" ht="34" customHeight="1">
      <c r="A29" s="14" t="inlineStr">
        <is>
          <t>Custom audience definition</t>
        </is>
      </c>
      <c r="B29" s="15" t="inlineStr">
        <is>
          <t>Video viewers (60%+ of any eSprinto reel posted after 22 Sept 2026); post engagers (likes, comments, shares after 22 Sept 2026); profile visitors (Instagram/Facebook, after 22 Sept 2026); website visitors after 22 Sept 2026 if pixel is active</t>
        </is>
      </c>
    </row>
    <row r="30" ht="34" customHeight="1">
      <c r="A30" s="14" t="inlineStr">
        <is>
          <t>Age / Gender / Locations</t>
        </is>
      </c>
      <c r="B30" s="15" t="inlineStr">
        <is>
          <t>Inherited from custom audience (same 28 cities, 22-50, all genders)</t>
        </is>
      </c>
    </row>
    <row r="31" ht="34" customHeight="1">
      <c r="A31" s="14" t="inlineStr">
        <is>
          <t>Exclusion</t>
        </is>
      </c>
      <c r="B31" s="15" t="inlineStr">
        <is>
          <t>All page engagers BEFORE 22 Sept 2026 - same B2B exclusion logic as Campaign 1 and 2A</t>
        </is>
      </c>
    </row>
    <row r="32" ht="34" customHeight="1">
      <c r="A32" s="14" t="inlineStr">
        <is>
          <t>Placement</t>
        </is>
      </c>
      <c r="B32" s="15" t="inlineStr">
        <is>
          <t>Instagram Stories + Reels - high-frequency, short-form retargeting</t>
        </is>
      </c>
    </row>
    <row r="33" ht="34" customHeight="1">
      <c r="A33" s="14" t="inlineStr">
        <is>
          <t>Optimisation goal</t>
        </is>
      </c>
      <c r="B33" s="15" t="inlineStr">
        <is>
          <t>Leads (Meta Lead Form completion) or link clicks to website - destination TBD</t>
        </is>
      </c>
    </row>
    <row r="34" ht="34" customHeight="1">
      <c r="A34" s="14" t="inlineStr">
        <is>
          <t>CTA</t>
        </is>
      </c>
      <c r="B34" s="15" t="inlineStr">
        <is>
          <t>Register Interest / Book a Test Ride - same messaging as 2A, higher-frequency delivery since this is an already-warm audience</t>
        </is>
      </c>
    </row>
    <row r="35" ht="34" customHeight="1">
      <c r="A35" s="14" t="inlineStr">
        <is>
          <t>Why this audience is small at campaign start</t>
        </is>
      </c>
      <c r="B35" s="15" t="inlineStr">
        <is>
          <t>Campaign 2 begins 3 Oct - only 11 days into a 21-day Campaign 1. The warm pool is still building and has not reached its full Teaser-end size yet. Because 2A now carries the primary lead volume, this no longer caps overall Campaign 2 performance the way it would if 2B were run alone - see 'Multiple Projections' for the sizing detail.</t>
        </is>
      </c>
    </row>
  </sheetData>
  <mergeCells count="4">
    <mergeCell ref="A27:B27"/>
    <mergeCell ref="A3:B3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4" customWidth="1" min="4" max="4"/>
    <col width="12" customWidth="1" min="5" max="5"/>
    <col width="22" customWidth="1" min="6" max="6"/>
    <col width="30" customWidth="1" min="7" max="7"/>
    <col width="30" customWidth="1" min="8" max="8"/>
  </cols>
  <sheetData>
    <row r="1" ht="24" customHeight="1">
      <c r="A1" s="1" t="inlineStr">
        <is>
          <t>eSprinto G1 - Road Map - Teaser Phase</t>
        </is>
      </c>
    </row>
    <row r="3" ht="32" customHeight="1">
      <c r="A3" s="4" t="inlineStr">
        <is>
          <t>Phase</t>
        </is>
      </c>
      <c r="B3" s="4" t="inlineStr">
        <is>
          <t>Campaign / Ad Set</t>
        </is>
      </c>
      <c r="C3" s="4" t="inlineStr">
        <is>
          <t>Campaign Objective</t>
        </is>
      </c>
      <c r="D3" s="4" t="inlineStr">
        <is>
          <t>Objective (Meta)</t>
        </is>
      </c>
      <c r="E3" s="4" t="inlineStr">
        <is>
          <t>Posts</t>
        </is>
      </c>
      <c r="F3" s="4" t="inlineStr">
        <is>
          <t>Duration</t>
        </is>
      </c>
      <c r="G3" s="4" t="inlineStr">
        <is>
          <t>Destination</t>
        </is>
      </c>
      <c r="H3" s="4" t="inlineStr">
        <is>
          <t>CTA</t>
        </is>
      </c>
    </row>
    <row r="4" ht="48" customHeight="1">
      <c r="A4" s="16" t="inlineStr">
        <is>
          <t>Teaser</t>
        </is>
      </c>
      <c r="B4" s="17" t="inlineStr">
        <is>
          <t>Campaign 1 - Awareness</t>
        </is>
      </c>
      <c r="C4" s="17" t="inlineStr">
        <is>
          <t>Build cold-audience reach + seed warm pool</t>
        </is>
      </c>
      <c r="D4" s="17" t="inlineStr">
        <is>
          <t>Brand Awareness / Reach</t>
        </is>
      </c>
      <c r="E4" s="16" t="inlineStr">
        <is>
          <t>5-10</t>
        </is>
      </c>
      <c r="F4" s="16" t="inlineStr">
        <is>
          <t>22 Sept - 12 Oct 2026 (21 days)</t>
        </is>
      </c>
      <c r="G4" s="17" t="inlineStr">
        <is>
          <t>Post engagement only - no landing page or product listing (nothing to sell yet)</t>
        </is>
      </c>
      <c r="H4" s="17" t="inlineStr">
        <is>
          <t>Watch More / Follow</t>
        </is>
      </c>
    </row>
    <row r="5" ht="48" customHeight="1">
      <c r="A5" s="16" t="inlineStr">
        <is>
          <t>Teaser</t>
        </is>
      </c>
      <c r="B5" s="17" t="inlineStr">
        <is>
          <t>Campaign 2 / Ad Set 2A - Broad Audience</t>
        </is>
      </c>
      <c r="C5" s="17" t="inlineStr">
        <is>
          <t>Drive primary pre-booking lead volume from the full cold Facebook audience</t>
        </is>
      </c>
      <c r="D5" s="17" t="inlineStr">
        <is>
          <t>Lead Generation</t>
        </is>
      </c>
      <c r="E5" s="16" t="inlineStr">
        <is>
          <t>N/A (prospecting ad set)</t>
        </is>
      </c>
      <c r="F5" s="16" t="inlineStr">
        <is>
          <t>3 Oct - 12 Oct 2026 (10 days)</t>
        </is>
      </c>
      <c r="G5" s="17" t="inlineStr">
        <is>
          <t>Website or Meta Instant Form - to be A/B tested (destination TBD)</t>
        </is>
      </c>
      <c r="H5" s="17" t="inlineStr">
        <is>
          <t>Register Interest / Book a Test Ride</t>
        </is>
      </c>
    </row>
    <row r="6" ht="48" customHeight="1">
      <c r="A6" s="16" t="inlineStr">
        <is>
          <t>Teaser</t>
        </is>
      </c>
      <c r="B6" s="17" t="inlineStr">
        <is>
          <t>Campaign 2 / Ad Set 2B - Warm Pool</t>
        </is>
      </c>
      <c r="C6" s="17" t="inlineStr">
        <is>
          <t>Convert already-engaged Campaign 1 audience as a supplementary remarketing layer</t>
        </is>
      </c>
      <c r="D6" s="17" t="inlineStr">
        <is>
          <t>Lead Generation</t>
        </is>
      </c>
      <c r="E6" s="16" t="inlineStr">
        <is>
          <t>N/A (remarketing ad set)</t>
        </is>
      </c>
      <c r="F6" s="16" t="inlineStr">
        <is>
          <t>3 Oct - 12 Oct 2026 (10 days)</t>
        </is>
      </c>
      <c r="G6" s="17" t="inlineStr">
        <is>
          <t>Website or Meta Instant Form - to be A/B tested (destination TBD)</t>
        </is>
      </c>
      <c r="H6" s="17" t="inlineStr">
        <is>
          <t>Register Interest / Book a Test Ride</t>
        </is>
      </c>
    </row>
    <row r="8" ht="20" customHeight="1">
      <c r="A8" s="3" t="inlineStr">
        <is>
          <t>Phase Boundary Note</t>
        </is>
      </c>
    </row>
    <row r="9" ht="32" customHeight="1">
      <c r="A9" s="14" t="inlineStr">
        <is>
          <t>Teaser ends 12 Oct</t>
        </is>
      </c>
      <c r="B9" s="15" t="inlineStr">
        <is>
          <t>Launch begins 13 Oct 2026 with Google Ads, ShareChat and ChatGPT Ads added alongside Meta. Warm pool built here carries directly into Launch-phase Meta remarketing.</t>
        </is>
      </c>
    </row>
  </sheetData>
  <mergeCells count="2">
    <mergeCell ref="A8:H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8" t="inlineStr">
        <is>
          <t>eSprinto G1 - Detailed Media Plan - Teaser Phase (Moderate scenario)</t>
        </is>
      </c>
    </row>
    <row r="2" ht="16" customHeight="1">
      <c r="A2" s="2" t="inlineStr">
        <is>
          <t>Every column is filled with a real number - engagement, click and lead metrics are shown for every campaign / ad set, even where they are not the primary optimisation objective. Conservative and Aggressive scenarios are in 'Multiple Projections'. All cells here are formulas linked to that sheet's Moderate row.</t>
        </is>
      </c>
    </row>
    <row r="4" ht="32" customHeight="1">
      <c r="A4" s="4" t="inlineStr">
        <is>
          <t>Campaign / Ad Set</t>
        </is>
      </c>
      <c r="B4" s="4" t="inlineStr">
        <is>
          <t>Objective</t>
        </is>
      </c>
      <c r="C4" s="4" t="inlineStr">
        <is>
          <t>KPI</t>
        </is>
      </c>
      <c r="D4" s="4" t="inlineStr">
        <is>
          <t>Daily Spend</t>
        </is>
      </c>
      <c r="E4" s="4" t="inlineStr">
        <is>
          <t>Total Spend</t>
        </is>
      </c>
      <c r="F4" s="4" t="inlineStr">
        <is>
          <t>Audience Size</t>
        </is>
      </c>
      <c r="G4" s="4" t="inlineStr">
        <is>
          <t>Reach</t>
        </is>
      </c>
      <c r="H4" s="4" t="inlineStr">
        <is>
          <t>% Audience Reached</t>
        </is>
      </c>
      <c r="I4" s="4" t="inlineStr">
        <is>
          <t>Frequency</t>
        </is>
      </c>
      <c r="J4" s="4" t="inlineStr">
        <is>
          <t>Impressions</t>
        </is>
      </c>
      <c r="K4" s="4" t="inlineStr">
        <is>
          <t>CPM</t>
        </is>
      </c>
      <c r="L4" s="4" t="inlineStr">
        <is>
          <t>Engagement Rate</t>
        </is>
      </c>
      <c r="M4" s="4" t="inlineStr">
        <is>
          <t>Engagement</t>
        </is>
      </c>
      <c r="N4" s="4" t="inlineStr">
        <is>
          <t>CPE</t>
        </is>
      </c>
      <c r="O4" s="4" t="inlineStr">
        <is>
          <t>CTR</t>
        </is>
      </c>
      <c r="P4" s="4" t="inlineStr">
        <is>
          <t>Clicks</t>
        </is>
      </c>
      <c r="Q4" s="4" t="inlineStr">
        <is>
          <t>CPC</t>
        </is>
      </c>
      <c r="R4" s="4" t="inlineStr">
        <is>
          <t>CVR</t>
        </is>
      </c>
      <c r="S4" s="4" t="inlineStr">
        <is>
          <t>Leads / Follows</t>
        </is>
      </c>
      <c r="T4" s="4" t="inlineStr">
        <is>
          <t>CPL / Cost per Follow</t>
        </is>
      </c>
    </row>
    <row r="5" ht="18" customHeight="1">
      <c r="A5" s="5" t="inlineStr">
        <is>
          <t>Campaign 1 - Awareness</t>
        </is>
      </c>
      <c r="B5" s="6" t="inlineStr">
        <is>
          <t>Brand Awareness + Reach</t>
        </is>
      </c>
      <c r="C5" s="6" t="inlineStr">
        <is>
          <t>Reach / Impressions / Follows</t>
        </is>
      </c>
      <c r="D5" s="7">
        <f>'Multiple Projections'!D7/21</f>
        <v/>
      </c>
      <c r="E5" s="7">
        <f>'Multiple Projections'!D7</f>
        <v/>
      </c>
      <c r="F5" s="8">
        <f>'Multiple Projections'!I7</f>
        <v/>
      </c>
      <c r="G5" s="9">
        <f>'Multiple Projections'!H7</f>
        <v/>
      </c>
      <c r="H5" s="19">
        <f>'Multiple Projections'!J7</f>
        <v/>
      </c>
      <c r="I5" s="20">
        <f>'Multiple Projections'!G7</f>
        <v/>
      </c>
      <c r="J5" s="9">
        <f>'Multiple Projections'!F7</f>
        <v/>
      </c>
      <c r="K5" s="21">
        <f>'Multiple Projections'!E7</f>
        <v/>
      </c>
      <c r="L5" s="19">
        <f>'Multiple Projections'!K7</f>
        <v/>
      </c>
      <c r="M5" s="9">
        <f>'Multiple Projections'!L7</f>
        <v/>
      </c>
      <c r="N5" s="7">
        <f>'Multiple Projections'!M7</f>
        <v/>
      </c>
      <c r="O5" s="19">
        <f>'Multiple Projections'!N7</f>
        <v/>
      </c>
      <c r="P5" s="9">
        <f>'Multiple Projections'!O7</f>
        <v/>
      </c>
      <c r="Q5" s="7">
        <f>'Multiple Projections'!P7</f>
        <v/>
      </c>
      <c r="R5" s="19">
        <f>'Multiple Projections'!Q7</f>
        <v/>
      </c>
      <c r="S5" s="9">
        <f>'Multiple Projections'!R7</f>
        <v/>
      </c>
      <c r="T5" s="7">
        <f>'Multiple Projections'!S7</f>
        <v/>
      </c>
    </row>
    <row r="6" ht="18" customHeight="1">
      <c r="A6" s="5" t="inlineStr">
        <is>
          <t>Ad Set 2A - Broad Audience</t>
        </is>
      </c>
      <c r="B6" s="6" t="inlineStr">
        <is>
          <t>Lead Generation</t>
        </is>
      </c>
      <c r="C6" s="6" t="inlineStr">
        <is>
          <t>Leads / CPL</t>
        </is>
      </c>
      <c r="D6" s="7">
        <f>'Multiple Projections'!B13/10</f>
        <v/>
      </c>
      <c r="E6" s="7">
        <f>'Multiple Projections'!B13</f>
        <v/>
      </c>
      <c r="F6" s="8">
        <f>'Multiple Projections'!G13</f>
        <v/>
      </c>
      <c r="G6" s="9">
        <f>'Multiple Projections'!F13</f>
        <v/>
      </c>
      <c r="H6" s="19">
        <f>'Multiple Projections'!H13</f>
        <v/>
      </c>
      <c r="I6" s="20">
        <f>'Multiple Projections'!E13</f>
        <v/>
      </c>
      <c r="J6" s="9">
        <f>'Multiple Projections'!D13</f>
        <v/>
      </c>
      <c r="K6" s="21">
        <f>'Multiple Projections'!C13</f>
        <v/>
      </c>
      <c r="L6" s="19">
        <f>'Multiple Projections'!I13</f>
        <v/>
      </c>
      <c r="M6" s="9">
        <f>'Multiple Projections'!J13</f>
        <v/>
      </c>
      <c r="N6" s="7">
        <f>'Multiple Projections'!K13</f>
        <v/>
      </c>
      <c r="O6" s="19">
        <f>'Multiple Projections'!L13</f>
        <v/>
      </c>
      <c r="P6" s="9">
        <f>'Multiple Projections'!M13</f>
        <v/>
      </c>
      <c r="Q6" s="7">
        <f>'Multiple Projections'!N13</f>
        <v/>
      </c>
      <c r="R6" s="19">
        <f>'Multiple Projections'!O13</f>
        <v/>
      </c>
      <c r="S6" s="9">
        <f>'Multiple Projections'!P13</f>
        <v/>
      </c>
      <c r="T6" s="7">
        <f>'Multiple Projections'!Q13</f>
        <v/>
      </c>
    </row>
    <row r="7" ht="18" customHeight="1">
      <c r="A7" s="5" t="inlineStr">
        <is>
          <t>Ad Set 2B - Warm Pool</t>
        </is>
      </c>
      <c r="B7" s="6" t="inlineStr">
        <is>
          <t>Lead Generation</t>
        </is>
      </c>
      <c r="C7" s="6" t="inlineStr">
        <is>
          <t>Leads / CPL</t>
        </is>
      </c>
      <c r="D7" s="7">
        <f>'Multiple Projections'!H19/10</f>
        <v/>
      </c>
      <c r="E7" s="7">
        <f>'Multiple Projections'!H19</f>
        <v/>
      </c>
      <c r="F7" s="8">
        <f>'Multiple Projections'!B19</f>
        <v/>
      </c>
      <c r="G7" s="9">
        <f>'Multiple Projections'!E19</f>
        <v/>
      </c>
      <c r="H7" s="19">
        <f>'Multiple Projections'!F19</f>
        <v/>
      </c>
      <c r="I7" s="20">
        <f>'Multiple Projections'!C19</f>
        <v/>
      </c>
      <c r="J7" s="9">
        <f>'Multiple Projections'!D19</f>
        <v/>
      </c>
      <c r="K7" s="21">
        <f>'Multiple Projections'!G19</f>
        <v/>
      </c>
      <c r="L7" s="19">
        <f>'Multiple Projections'!I19</f>
        <v/>
      </c>
      <c r="M7" s="9">
        <f>'Multiple Projections'!J19</f>
        <v/>
      </c>
      <c r="N7" s="7">
        <f>'Multiple Projections'!K19</f>
        <v/>
      </c>
      <c r="O7" s="19">
        <f>'Multiple Projections'!L19</f>
        <v/>
      </c>
      <c r="P7" s="9">
        <f>'Multiple Projections'!M19</f>
        <v/>
      </c>
      <c r="Q7" s="7">
        <f>'Multiple Projections'!N19</f>
        <v/>
      </c>
      <c r="R7" s="19">
        <f>'Multiple Projections'!O19</f>
        <v/>
      </c>
      <c r="S7" s="9">
        <f>'Multiple Projections'!P19</f>
        <v/>
      </c>
      <c r="T7" s="7">
        <f>'Multiple Projections'!Q19</f>
        <v/>
      </c>
    </row>
    <row r="8" ht="18" customHeight="1">
      <c r="A8" s="5" t="inlineStr">
        <is>
          <t>Campaign 2 Total (2A + 2B)</t>
        </is>
      </c>
      <c r="B8" s="10" t="inlineStr">
        <is>
          <t>Lead Generation</t>
        </is>
      </c>
      <c r="C8" s="10" t="inlineStr">
        <is>
          <t>Leads / CPL (blended)</t>
        </is>
      </c>
      <c r="D8" s="11">
        <f>'Multiple Projections'!H25/10</f>
        <v/>
      </c>
      <c r="E8" s="11">
        <f>'Multiple Projections'!H25</f>
        <v/>
      </c>
      <c r="F8" s="12" t="inlineStr">
        <is>
          <t>-</t>
        </is>
      </c>
      <c r="G8" s="13" t="inlineStr">
        <is>
          <t>-</t>
        </is>
      </c>
      <c r="H8" s="22" t="inlineStr">
        <is>
          <t>-</t>
        </is>
      </c>
      <c r="I8" s="23" t="inlineStr">
        <is>
          <t>-</t>
        </is>
      </c>
      <c r="J8" s="13">
        <f>'Multiple Projections'!D13+'Multiple Projections'!D19</f>
        <v/>
      </c>
      <c r="K8" s="24" t="inlineStr">
        <is>
          <t>-</t>
        </is>
      </c>
      <c r="L8" s="22" t="inlineStr">
        <is>
          <t>-</t>
        </is>
      </c>
      <c r="M8" s="13" t="inlineStr">
        <is>
          <t>-</t>
        </is>
      </c>
      <c r="N8" s="11" t="inlineStr">
        <is>
          <t>-</t>
        </is>
      </c>
      <c r="O8" s="22" t="inlineStr">
        <is>
          <t>-</t>
        </is>
      </c>
      <c r="P8" s="13" t="inlineStr">
        <is>
          <t>-</t>
        </is>
      </c>
      <c r="Q8" s="11" t="inlineStr">
        <is>
          <t>-</t>
        </is>
      </c>
      <c r="R8" s="22" t="inlineStr">
        <is>
          <t>-</t>
        </is>
      </c>
      <c r="S8" s="13">
        <f>'Multiple Projections'!I25</f>
        <v/>
      </c>
      <c r="T8" s="11">
        <f>'Multiple Projections'!H25/'Multiple Projections'!I25</f>
        <v/>
      </c>
    </row>
    <row r="10" ht="20" customHeight="1">
      <c r="A10" s="3" t="inlineStr">
        <is>
          <t>Formulas Used (documented in 'Multiple Projections'; this sheet only links to it)</t>
        </is>
      </c>
    </row>
    <row r="11" ht="16" customHeight="1">
      <c r="A11" s="25" t="inlineStr">
        <is>
          <t>- Impressions = Total Spend / CPM x 1,000  |  Reach = Impressions / Frequency  |  % Audience Reached = Reach / Audience Size</t>
        </is>
      </c>
    </row>
    <row r="12" ht="16" customHeight="1">
      <c r="A12" s="25" t="inlineStr">
        <is>
          <t>- Engagement = Impressions x Engagement Rate  |  CPE = Total Spend / Engagement</t>
        </is>
      </c>
    </row>
    <row r="13" ht="16" customHeight="1">
      <c r="A13" s="25" t="inlineStr">
        <is>
          <t>- Clicks = Impressions x CTR  |  CPC = Total Spend / Clicks</t>
        </is>
      </c>
    </row>
    <row r="14" ht="16" customHeight="1">
      <c r="A14" s="25" t="inlineStr">
        <is>
          <t>- Leads (or Follows, Campaign 1) = Clicks x CVR  |  CPL (or Cost per Follow) = Total Spend / Leads</t>
        </is>
      </c>
    </row>
    <row r="15" ht="16" customHeight="1">
      <c r="A15" s="25" t="inlineStr">
        <is>
          <t>- Warm pool @ 3 Oct (Campaign 1) = Engagement x time-elapsed fraction (11 of 21 Teaser days)</t>
        </is>
      </c>
    </row>
    <row r="16" ht="16" customHeight="1">
      <c r="A16" s="25" t="inlineStr">
        <is>
          <t>- Ad Set 2B Audience = Campaign 1's Warm Pool @ 3 Oct (same-sheet cell reference) - so posting more/fewer posts in Campaign 1 changes 2B's audience, impressions and budget automatically</t>
        </is>
      </c>
    </row>
    <row r="17" ht="16" customHeight="1">
      <c r="A17" s="25" t="inlineStr">
        <is>
          <t>- Ad Set 2A budget is a scenario input (audience is large enough that budget, not audience size, is the constraint); Ad Set 2B budget is derived from Audience x Frequency / 1,000 x CPM (audience is the constraint here)</t>
        </is>
      </c>
    </row>
  </sheetData>
  <mergeCells count="10">
    <mergeCell ref="A1:T1"/>
    <mergeCell ref="A17:T17"/>
    <mergeCell ref="A12:T12"/>
    <mergeCell ref="A14:T14"/>
    <mergeCell ref="A15:T15"/>
    <mergeCell ref="A2:T2"/>
    <mergeCell ref="A16:T16"/>
    <mergeCell ref="A10:T10"/>
    <mergeCell ref="A13:T13"/>
    <mergeCell ref="A11:T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24" customHeight="1">
      <c r="A1" s="18" t="inlineStr">
        <is>
          <t>eSprinto G1 - Multiple Projections - Teaser Phase</t>
        </is>
      </c>
    </row>
    <row r="2" ht="16" customHeight="1">
      <c r="A2" s="2" t="inlineStr">
        <is>
          <t>Every shaded input (Budget/Posts, CPM, Frequency, CTR, CVR, Engagement Rate) is a typed assumption - every other cell is a live formula. Change an input and its row recalculates.</t>
        </is>
      </c>
    </row>
    <row r="4" ht="20" customHeight="1">
      <c r="A4" s="3" t="inlineStr">
        <is>
          <t>Campaign 1 - Awareness (22 Sept - 12 Oct, 21 days)</t>
        </is>
      </c>
    </row>
    <row r="5" ht="32" customHeight="1">
      <c r="A5" s="4" t="inlineStr">
        <is>
          <t>Scenario</t>
        </is>
      </c>
      <c r="B5" s="4" t="inlineStr">
        <is>
          <t>Posts</t>
        </is>
      </c>
      <c r="C5" s="4" t="inlineStr">
        <is>
          <t>Budget
/Post</t>
        </is>
      </c>
      <c r="D5" s="4" t="inlineStr">
        <is>
          <t>Total
Budget</t>
        </is>
      </c>
      <c r="E5" s="4" t="inlineStr">
        <is>
          <t>CPM</t>
        </is>
      </c>
      <c r="F5" s="4" t="inlineStr">
        <is>
          <t>Impressions</t>
        </is>
      </c>
      <c r="G5" s="4" t="inlineStr">
        <is>
          <t>Frequency</t>
        </is>
      </c>
      <c r="H5" s="4" t="inlineStr">
        <is>
          <t>Reach</t>
        </is>
      </c>
      <c r="I5" s="4" t="inlineStr">
        <is>
          <t>Audience
Size</t>
        </is>
      </c>
      <c r="J5" s="4" t="inlineStr">
        <is>
          <t>% Audience
Reached</t>
        </is>
      </c>
      <c r="K5" s="4" t="inlineStr">
        <is>
          <t>Engagement
Rate</t>
        </is>
      </c>
      <c r="L5" s="4" t="inlineStr">
        <is>
          <t>Engagement /
Warm Pool (12 Oct)</t>
        </is>
      </c>
      <c r="M5" s="4" t="inlineStr">
        <is>
          <t>CPE</t>
        </is>
      </c>
      <c r="N5" s="4" t="inlineStr">
        <is>
          <t>CTR</t>
        </is>
      </c>
      <c r="O5" s="4" t="inlineStr">
        <is>
          <t>Clicks</t>
        </is>
      </c>
      <c r="P5" s="4" t="inlineStr">
        <is>
          <t>CPC</t>
        </is>
      </c>
      <c r="Q5" s="4" t="inlineStr">
        <is>
          <t>CVR
(click-&gt;follow)</t>
        </is>
      </c>
      <c r="R5" s="4" t="inlineStr">
        <is>
          <t>Follows /
Profile Visits</t>
        </is>
      </c>
      <c r="S5" s="4" t="inlineStr">
        <is>
          <t>Cost per
Follow</t>
        </is>
      </c>
      <c r="T5" s="4" t="inlineStr">
        <is>
          <t>Time Frac.
elapsed @ 3 Oct</t>
        </is>
      </c>
      <c r="U5" s="4" t="inlineStr">
        <is>
          <t>Warm Pool
@ 3 Oct (2B start)</t>
        </is>
      </c>
    </row>
    <row r="6" ht="16" customHeight="1">
      <c r="A6" s="5" t="inlineStr">
        <is>
          <t>Conservative</t>
        </is>
      </c>
      <c r="B6" s="26" t="n">
        <v>5</v>
      </c>
      <c r="C6" s="21" t="n">
        <v>1000</v>
      </c>
      <c r="D6" s="7">
        <f>C6*B6</f>
        <v/>
      </c>
      <c r="E6" s="21" t="n">
        <v>80</v>
      </c>
      <c r="F6" s="9">
        <f>D6/E6*1000</f>
        <v/>
      </c>
      <c r="G6" s="20" t="n">
        <v>2.2</v>
      </c>
      <c r="H6" s="9">
        <f>F6/G6</f>
        <v/>
      </c>
      <c r="I6" s="8" t="n">
        <v>25000000</v>
      </c>
      <c r="J6" s="19">
        <f>H6/I6</f>
        <v/>
      </c>
      <c r="K6" s="19" t="n">
        <v>0.05</v>
      </c>
      <c r="L6" s="9">
        <f>F6*K6</f>
        <v/>
      </c>
      <c r="M6" s="7">
        <f>D6/L6</f>
        <v/>
      </c>
      <c r="N6" s="19" t="n">
        <v>0.007</v>
      </c>
      <c r="O6" s="9">
        <f>F6*N6</f>
        <v/>
      </c>
      <c r="P6" s="7">
        <f>D6/O6</f>
        <v/>
      </c>
      <c r="Q6" s="19" t="n">
        <v>0.08</v>
      </c>
      <c r="R6" s="9">
        <f>O6*Q6</f>
        <v/>
      </c>
      <c r="S6" s="7">
        <f>D6/R6</f>
        <v/>
      </c>
      <c r="T6" s="19" t="n">
        <v>0.5238</v>
      </c>
      <c r="U6" s="9">
        <f>L6*T6</f>
        <v/>
      </c>
    </row>
    <row r="7" ht="16" customHeight="1">
      <c r="A7" s="5" t="inlineStr">
        <is>
          <t>Moderate</t>
        </is>
      </c>
      <c r="B7" s="26" t="n">
        <v>7</v>
      </c>
      <c r="C7" s="21" t="n">
        <v>1250</v>
      </c>
      <c r="D7" s="7">
        <f>C7*B7</f>
        <v/>
      </c>
      <c r="E7" s="21" t="n">
        <v>80</v>
      </c>
      <c r="F7" s="9">
        <f>D7/E7*1000</f>
        <v/>
      </c>
      <c r="G7" s="20" t="n">
        <v>2.3</v>
      </c>
      <c r="H7" s="9">
        <f>F7/G7</f>
        <v/>
      </c>
      <c r="I7" s="8" t="n">
        <v>25000000</v>
      </c>
      <c r="J7" s="19">
        <f>H7/I7</f>
        <v/>
      </c>
      <c r="K7" s="19" t="n">
        <v>0.075</v>
      </c>
      <c r="L7" s="9">
        <f>F7*K7</f>
        <v/>
      </c>
      <c r="M7" s="7">
        <f>D7/L7</f>
        <v/>
      </c>
      <c r="N7" s="19" t="n">
        <v>0.008</v>
      </c>
      <c r="O7" s="9">
        <f>F7*N7</f>
        <v/>
      </c>
      <c r="P7" s="7">
        <f>D7/O7</f>
        <v/>
      </c>
      <c r="Q7" s="19" t="n">
        <v>0.09</v>
      </c>
      <c r="R7" s="9">
        <f>O7*Q7</f>
        <v/>
      </c>
      <c r="S7" s="7">
        <f>D7/R7</f>
        <v/>
      </c>
      <c r="T7" s="19" t="n">
        <v>0.5238</v>
      </c>
      <c r="U7" s="9">
        <f>L7*T7</f>
        <v/>
      </c>
    </row>
    <row r="8" ht="16" customHeight="1">
      <c r="A8" s="5" t="inlineStr">
        <is>
          <t>Aggressive</t>
        </is>
      </c>
      <c r="B8" s="26" t="n">
        <v>10</v>
      </c>
      <c r="C8" s="21" t="n">
        <v>1500</v>
      </c>
      <c r="D8" s="7">
        <f>C8*B8</f>
        <v/>
      </c>
      <c r="E8" s="21" t="n">
        <v>80</v>
      </c>
      <c r="F8" s="9">
        <f>D8/E8*1000</f>
        <v/>
      </c>
      <c r="G8" s="20" t="n">
        <v>2.5</v>
      </c>
      <c r="H8" s="9">
        <f>F8/G8</f>
        <v/>
      </c>
      <c r="I8" s="8" t="n">
        <v>25000000</v>
      </c>
      <c r="J8" s="19">
        <f>H8/I8</f>
        <v/>
      </c>
      <c r="K8" s="19" t="n">
        <v>0.1</v>
      </c>
      <c r="L8" s="9">
        <f>F8*K8</f>
        <v/>
      </c>
      <c r="M8" s="7">
        <f>D8/L8</f>
        <v/>
      </c>
      <c r="N8" s="19" t="n">
        <v>0.008999999999999999</v>
      </c>
      <c r="O8" s="9">
        <f>F8*N8</f>
        <v/>
      </c>
      <c r="P8" s="7">
        <f>D8/O8</f>
        <v/>
      </c>
      <c r="Q8" s="19" t="n">
        <v>0.1</v>
      </c>
      <c r="R8" s="9">
        <f>O8*Q8</f>
        <v/>
      </c>
      <c r="S8" s="7">
        <f>D8/R8</f>
        <v/>
      </c>
      <c r="T8" s="19" t="n">
        <v>0.5238</v>
      </c>
      <c r="U8" s="9">
        <f>L8*T8</f>
        <v/>
      </c>
    </row>
    <row r="10" ht="20" customHeight="1">
      <c r="A10" s="3" t="inlineStr">
        <is>
          <t>Campaign 2 / Ad Set 2A - Broad Audience Prospecting (3 Oct - 12 Oct, 10 days)</t>
        </is>
      </c>
    </row>
    <row r="11" ht="32" customHeight="1">
      <c r="A11" s="4" t="inlineStr">
        <is>
          <t>Scenario</t>
        </is>
      </c>
      <c r="B11" s="4" t="inlineStr">
        <is>
          <t>Total
Budget</t>
        </is>
      </c>
      <c r="C11" s="4" t="inlineStr">
        <is>
          <t>CPM</t>
        </is>
      </c>
      <c r="D11" s="4" t="inlineStr">
        <is>
          <t>Impressions</t>
        </is>
      </c>
      <c r="E11" s="4" t="inlineStr">
        <is>
          <t>Frequency</t>
        </is>
      </c>
      <c r="F11" s="4" t="inlineStr">
        <is>
          <t>Reach</t>
        </is>
      </c>
      <c r="G11" s="4" t="inlineStr">
        <is>
          <t>Audience
Size</t>
        </is>
      </c>
      <c r="H11" s="4" t="inlineStr">
        <is>
          <t>% Audience
Reached</t>
        </is>
      </c>
      <c r="I11" s="4" t="inlineStr">
        <is>
          <t>Engagement
Rate</t>
        </is>
      </c>
      <c r="J11" s="4" t="inlineStr">
        <is>
          <t>Engagement</t>
        </is>
      </c>
      <c r="K11" s="4" t="inlineStr">
        <is>
          <t>CPE</t>
        </is>
      </c>
      <c r="L11" s="4" t="inlineStr">
        <is>
          <t>CTR</t>
        </is>
      </c>
      <c r="M11" s="4" t="inlineStr">
        <is>
          <t>Clicks</t>
        </is>
      </c>
      <c r="N11" s="4" t="inlineStr">
        <is>
          <t>CPC</t>
        </is>
      </c>
      <c r="O11" s="4" t="inlineStr">
        <is>
          <t>CVR
(click-&gt;lead)</t>
        </is>
      </c>
      <c r="P11" s="4" t="inlineStr">
        <is>
          <t>Leads</t>
        </is>
      </c>
      <c r="Q11" s="4" t="inlineStr">
        <is>
          <t>CPL</t>
        </is>
      </c>
    </row>
    <row r="12" ht="16" customHeight="1">
      <c r="A12" s="5" t="inlineStr">
        <is>
          <t>Conservative</t>
        </is>
      </c>
      <c r="B12" s="7" t="n">
        <v>8000</v>
      </c>
      <c r="C12" s="21" t="n">
        <v>120</v>
      </c>
      <c r="D12" s="9">
        <f>B12/C12*1000</f>
        <v/>
      </c>
      <c r="E12" s="20" t="n">
        <v>2</v>
      </c>
      <c r="F12" s="9">
        <f>D12/E12</f>
        <v/>
      </c>
      <c r="G12" s="8" t="n">
        <v>25000000</v>
      </c>
      <c r="H12" s="19">
        <f>F12/G12</f>
        <v/>
      </c>
      <c r="I12" s="19" t="n">
        <v>0.012</v>
      </c>
      <c r="J12" s="9">
        <f>D12*I12</f>
        <v/>
      </c>
      <c r="K12" s="7">
        <f>B12/J12</f>
        <v/>
      </c>
      <c r="L12" s="19" t="n">
        <v>0.013</v>
      </c>
      <c r="M12" s="9">
        <f>D12*L12</f>
        <v/>
      </c>
      <c r="N12" s="7">
        <f>B12/M12</f>
        <v/>
      </c>
      <c r="O12" s="19" t="n">
        <v>0.021</v>
      </c>
      <c r="P12" s="9">
        <f>M12*O12</f>
        <v/>
      </c>
      <c r="Q12" s="7">
        <f>B12/P12</f>
        <v/>
      </c>
    </row>
    <row r="13" ht="16" customHeight="1">
      <c r="A13" s="5" t="inlineStr">
        <is>
          <t>Moderate</t>
        </is>
      </c>
      <c r="B13" s="7" t="n">
        <v>12000</v>
      </c>
      <c r="C13" s="21" t="n">
        <v>120</v>
      </c>
      <c r="D13" s="9">
        <f>B13/C13*1000</f>
        <v/>
      </c>
      <c r="E13" s="20" t="n">
        <v>2.1</v>
      </c>
      <c r="F13" s="9">
        <f>D13/E13</f>
        <v/>
      </c>
      <c r="G13" s="8" t="n">
        <v>25000000</v>
      </c>
      <c r="H13" s="19">
        <f>F13/G13</f>
        <v/>
      </c>
      <c r="I13" s="19" t="n">
        <v>0.014</v>
      </c>
      <c r="J13" s="9">
        <f>D13*I13</f>
        <v/>
      </c>
      <c r="K13" s="7">
        <f>B13/J13</f>
        <v/>
      </c>
      <c r="L13" s="19" t="n">
        <v>0.014</v>
      </c>
      <c r="M13" s="9">
        <f>D13*L13</f>
        <v/>
      </c>
      <c r="N13" s="7">
        <f>B13/M13</f>
        <v/>
      </c>
      <c r="O13" s="19" t="n">
        <v>0.022</v>
      </c>
      <c r="P13" s="9">
        <f>M13*O13</f>
        <v/>
      </c>
      <c r="Q13" s="7">
        <f>B13/P13</f>
        <v/>
      </c>
    </row>
    <row r="14" ht="16" customHeight="1">
      <c r="A14" s="5" t="inlineStr">
        <is>
          <t>Aggressive</t>
        </is>
      </c>
      <c r="B14" s="7" t="n">
        <v>20000</v>
      </c>
      <c r="C14" s="21" t="n">
        <v>120</v>
      </c>
      <c r="D14" s="9">
        <f>B14/C14*1000</f>
        <v/>
      </c>
      <c r="E14" s="20" t="n">
        <v>2.2</v>
      </c>
      <c r="F14" s="9">
        <f>D14/E14</f>
        <v/>
      </c>
      <c r="G14" s="8" t="n">
        <v>25000000</v>
      </c>
      <c r="H14" s="19">
        <f>F14/G14</f>
        <v/>
      </c>
      <c r="I14" s="19" t="n">
        <v>0.016</v>
      </c>
      <c r="J14" s="9">
        <f>D14*I14</f>
        <v/>
      </c>
      <c r="K14" s="7">
        <f>B14/J14</f>
        <v/>
      </c>
      <c r="L14" s="19" t="n">
        <v>0.015</v>
      </c>
      <c r="M14" s="9">
        <f>D14*L14</f>
        <v/>
      </c>
      <c r="N14" s="7">
        <f>B14/M14</f>
        <v/>
      </c>
      <c r="O14" s="19" t="n">
        <v>0.023</v>
      </c>
      <c r="P14" s="9">
        <f>M14*O14</f>
        <v/>
      </c>
      <c r="Q14" s="7">
        <f>B14/P14</f>
        <v/>
      </c>
    </row>
    <row r="16" ht="20" customHeight="1">
      <c r="A16" s="3" t="inlineStr">
        <is>
          <t>Campaign 2 / Ad Set 2B - Warm Pool Remarketing (3 Oct - 12 Oct, 10 days)</t>
        </is>
      </c>
    </row>
    <row r="17" ht="32" customHeight="1">
      <c r="A17" s="4" t="inlineStr">
        <is>
          <t>Scenario</t>
        </is>
      </c>
      <c r="B17" s="4" t="inlineStr">
        <is>
          <t>Audience
(Warm Pool @3Oct)</t>
        </is>
      </c>
      <c r="C17" s="4" t="inlineStr">
        <is>
          <t>Frequency</t>
        </is>
      </c>
      <c r="D17" s="4" t="inlineStr">
        <is>
          <t>Impressions</t>
        </is>
      </c>
      <c r="E17" s="4" t="inlineStr">
        <is>
          <t>Reach</t>
        </is>
      </c>
      <c r="F17" s="4" t="inlineStr">
        <is>
          <t>% Audience
Reached</t>
        </is>
      </c>
      <c r="G17" s="4" t="inlineStr">
        <is>
          <t>CPM</t>
        </is>
      </c>
      <c r="H17" s="4" t="inlineStr">
        <is>
          <t>Total
Budget</t>
        </is>
      </c>
      <c r="I17" s="4" t="inlineStr">
        <is>
          <t>Engagement
Rate</t>
        </is>
      </c>
      <c r="J17" s="4" t="inlineStr">
        <is>
          <t>Engagement</t>
        </is>
      </c>
      <c r="K17" s="4" t="inlineStr">
        <is>
          <t>CPE</t>
        </is>
      </c>
      <c r="L17" s="4" t="inlineStr">
        <is>
          <t>CTR</t>
        </is>
      </c>
      <c r="M17" s="4" t="inlineStr">
        <is>
          <t>Clicks</t>
        </is>
      </c>
      <c r="N17" s="4" t="inlineStr">
        <is>
          <t>CPC</t>
        </is>
      </c>
      <c r="O17" s="4" t="inlineStr">
        <is>
          <t>CVR
(click-&gt;lead)</t>
        </is>
      </c>
      <c r="P17" s="4" t="inlineStr">
        <is>
          <t>Leads</t>
        </is>
      </c>
      <c r="Q17" s="4" t="inlineStr">
        <is>
          <t>CPL</t>
        </is>
      </c>
    </row>
    <row r="18" ht="16" customHeight="1">
      <c r="A18" s="5" t="inlineStr">
        <is>
          <t>Conservative</t>
        </is>
      </c>
      <c r="B18" s="9">
        <f>U6</f>
        <v/>
      </c>
      <c r="C18" s="20" t="n">
        <v>3.5</v>
      </c>
      <c r="D18" s="9">
        <f>B18*C18</f>
        <v/>
      </c>
      <c r="E18" s="9">
        <f>D18/C18</f>
        <v/>
      </c>
      <c r="F18" s="19">
        <f>E18/B18</f>
        <v/>
      </c>
      <c r="G18" s="21" t="n">
        <v>200</v>
      </c>
      <c r="H18" s="7">
        <f>D18/1000*G18</f>
        <v/>
      </c>
      <c r="I18" s="19" t="n">
        <v>0.02</v>
      </c>
      <c r="J18" s="9">
        <f>D18*I18</f>
        <v/>
      </c>
      <c r="K18" s="7">
        <f>H18/J18</f>
        <v/>
      </c>
      <c r="L18" s="19" t="n">
        <v>0.035</v>
      </c>
      <c r="M18" s="9">
        <f>D18*L18</f>
        <v/>
      </c>
      <c r="N18" s="7">
        <f>H18/M18</f>
        <v/>
      </c>
      <c r="O18" s="19" t="n">
        <v>0.04</v>
      </c>
      <c r="P18" s="9">
        <f>M18*O18</f>
        <v/>
      </c>
      <c r="Q18" s="7">
        <f>H18/P18</f>
        <v/>
      </c>
    </row>
    <row r="19" ht="16" customHeight="1">
      <c r="A19" s="5" t="inlineStr">
        <is>
          <t>Moderate</t>
        </is>
      </c>
      <c r="B19" s="9">
        <f>U7</f>
        <v/>
      </c>
      <c r="C19" s="20" t="n">
        <v>4</v>
      </c>
      <c r="D19" s="9">
        <f>B19*C19</f>
        <v/>
      </c>
      <c r="E19" s="9">
        <f>D19/C19</f>
        <v/>
      </c>
      <c r="F19" s="19">
        <f>E19/B19</f>
        <v/>
      </c>
      <c r="G19" s="21" t="n">
        <v>200</v>
      </c>
      <c r="H19" s="7">
        <f>D19/1000*G19</f>
        <v/>
      </c>
      <c r="I19" s="19" t="n">
        <v>0.023</v>
      </c>
      <c r="J19" s="9">
        <f>D19*I19</f>
        <v/>
      </c>
      <c r="K19" s="7">
        <f>H19/J19</f>
        <v/>
      </c>
      <c r="L19" s="19" t="n">
        <v>0.04</v>
      </c>
      <c r="M19" s="9">
        <f>D19*L19</f>
        <v/>
      </c>
      <c r="N19" s="7">
        <f>H19/M19</f>
        <v/>
      </c>
      <c r="O19" s="19" t="n">
        <v>0.05</v>
      </c>
      <c r="P19" s="9">
        <f>M19*O19</f>
        <v/>
      </c>
      <c r="Q19" s="7">
        <f>H19/P19</f>
        <v/>
      </c>
    </row>
    <row r="20" ht="16" customHeight="1">
      <c r="A20" s="5" t="inlineStr">
        <is>
          <t>Aggressive</t>
        </is>
      </c>
      <c r="B20" s="9">
        <f>U8</f>
        <v/>
      </c>
      <c r="C20" s="20" t="n">
        <v>4.5</v>
      </c>
      <c r="D20" s="9">
        <f>B20*C20</f>
        <v/>
      </c>
      <c r="E20" s="9">
        <f>D20/C20</f>
        <v/>
      </c>
      <c r="F20" s="19">
        <f>E20/B20</f>
        <v/>
      </c>
      <c r="G20" s="21" t="n">
        <v>200</v>
      </c>
      <c r="H20" s="7">
        <f>D20/1000*G20</f>
        <v/>
      </c>
      <c r="I20" s="19" t="n">
        <v>0.026</v>
      </c>
      <c r="J20" s="9">
        <f>D20*I20</f>
        <v/>
      </c>
      <c r="K20" s="7">
        <f>H20/J20</f>
        <v/>
      </c>
      <c r="L20" s="19" t="n">
        <v>0.045</v>
      </c>
      <c r="M20" s="9">
        <f>D20*L20</f>
        <v/>
      </c>
      <c r="N20" s="7">
        <f>H20/M20</f>
        <v/>
      </c>
      <c r="O20" s="19" t="n">
        <v>0.06</v>
      </c>
      <c r="P20" s="9">
        <f>M20*O20</f>
        <v/>
      </c>
      <c r="Q20" s="7">
        <f>H20/P20</f>
        <v/>
      </c>
    </row>
    <row r="22" ht="20" customHeight="1">
      <c r="A22" s="3" t="inlineStr">
        <is>
          <t>Campaign 2 Combined (2A + 2B) and Teaser Phase Total</t>
        </is>
      </c>
    </row>
    <row r="23" ht="32" customHeight="1">
      <c r="A23" s="4" t="inlineStr">
        <is>
          <t>Scenario</t>
        </is>
      </c>
      <c r="B23" s="4" t="inlineStr">
        <is>
          <t>Campaign 1
Budget</t>
        </is>
      </c>
      <c r="C23" s="4" t="inlineStr">
        <is>
          <t>Campaign 1
Follows</t>
        </is>
      </c>
      <c r="D23" s="4" t="inlineStr">
        <is>
          <t>Ad Set 2A
Budget</t>
        </is>
      </c>
      <c r="E23" s="4" t="inlineStr">
        <is>
          <t>Ad Set 2A
Leads</t>
        </is>
      </c>
      <c r="F23" s="4" t="inlineStr">
        <is>
          <t>Ad Set 2B
Budget</t>
        </is>
      </c>
      <c r="G23" s="4" t="inlineStr">
        <is>
          <t>Ad Set 2B
Leads</t>
        </is>
      </c>
      <c r="H23" s="4" t="inlineStr">
        <is>
          <t>Campaign 2
Combined Budget</t>
        </is>
      </c>
      <c r="I23" s="4" t="inlineStr">
        <is>
          <t>Campaign 2
Combined Leads</t>
        </is>
      </c>
      <c r="J23" s="4" t="inlineStr">
        <is>
          <t>Teaser Total
Budget</t>
        </is>
      </c>
      <c r="K23" s="4" t="inlineStr">
        <is>
          <t>Teaser Total
Leads</t>
        </is>
      </c>
    </row>
    <row r="24" ht="16" customHeight="1">
      <c r="A24" s="5" t="inlineStr">
        <is>
          <t>Conservative</t>
        </is>
      </c>
      <c r="B24" s="7">
        <f>D6</f>
        <v/>
      </c>
      <c r="C24" s="9">
        <f>R6</f>
        <v/>
      </c>
      <c r="D24" s="7">
        <f>B12</f>
        <v/>
      </c>
      <c r="E24" s="9">
        <f>P12</f>
        <v/>
      </c>
      <c r="F24" s="7">
        <f>H18</f>
        <v/>
      </c>
      <c r="G24" s="9">
        <f>P18</f>
        <v/>
      </c>
      <c r="H24" s="7">
        <f>D24+F24</f>
        <v/>
      </c>
      <c r="I24" s="9">
        <f>E24+G24</f>
        <v/>
      </c>
      <c r="J24" s="7">
        <f>B24+H24</f>
        <v/>
      </c>
      <c r="K24" s="9">
        <f>I24</f>
        <v/>
      </c>
    </row>
    <row r="25" ht="16" customHeight="1">
      <c r="A25" s="5" t="inlineStr">
        <is>
          <t>Moderate</t>
        </is>
      </c>
      <c r="B25" s="7">
        <f>D7</f>
        <v/>
      </c>
      <c r="C25" s="9">
        <f>R7</f>
        <v/>
      </c>
      <c r="D25" s="7">
        <f>B13</f>
        <v/>
      </c>
      <c r="E25" s="9">
        <f>P13</f>
        <v/>
      </c>
      <c r="F25" s="7">
        <f>H19</f>
        <v/>
      </c>
      <c r="G25" s="9">
        <f>P19</f>
        <v/>
      </c>
      <c r="H25" s="7">
        <f>D25+F25</f>
        <v/>
      </c>
      <c r="I25" s="9">
        <f>E25+G25</f>
        <v/>
      </c>
      <c r="J25" s="7">
        <f>B25+H25</f>
        <v/>
      </c>
      <c r="K25" s="9">
        <f>I25</f>
        <v/>
      </c>
    </row>
    <row r="26" ht="16" customHeight="1">
      <c r="A26" s="5" t="inlineStr">
        <is>
          <t>Aggressive</t>
        </is>
      </c>
      <c r="B26" s="7">
        <f>D8</f>
        <v/>
      </c>
      <c r="C26" s="9">
        <f>R8</f>
        <v/>
      </c>
      <c r="D26" s="7">
        <f>B14</f>
        <v/>
      </c>
      <c r="E26" s="9">
        <f>P14</f>
        <v/>
      </c>
      <c r="F26" s="7">
        <f>H20</f>
        <v/>
      </c>
      <c r="G26" s="9">
        <f>P20</f>
        <v/>
      </c>
      <c r="H26" s="7">
        <f>D26+F26</f>
        <v/>
      </c>
      <c r="I26" s="9">
        <f>E26+G26</f>
        <v/>
      </c>
      <c r="J26" s="7">
        <f>B26+H26</f>
        <v/>
      </c>
      <c r="K26" s="9">
        <f>I26</f>
        <v/>
      </c>
    </row>
    <row r="28" ht="20" customHeight="1">
      <c r="A28" s="3" t="inlineStr">
        <is>
          <t>Strategic Note - Why Campaign 2 Is Split Into Two Ad Sets</t>
        </is>
      </c>
    </row>
    <row r="29" ht="76" customHeight="1">
      <c r="A29" s="27" t="inlineStr">
        <is>
          <t>Ad Set 2A (broad audience) carries the primary pre-booking lead volume: it runs on the same ~2.5 crore cold Facebook audience as Campaign 1, so its scale does not depend on how many posts ran or how large the warm pool has grown by 3 Oct. Ad Set 2B (warm pool) is a smaller, supplementary layer that retargets people already engaging with eSprinto content - a warm audience converts at a meaningfully lower cost per lead than cold prospecting (see CPL columns above), but its scale is capped by warm-pool size and timing. Posting more in Campaign 1 (toward 10 posts) still helps 2B's efficiency and reach, but no longer gates the whole campaign's pre-booking volume the way it would if 2B ran alone.</t>
        </is>
      </c>
    </row>
    <row r="31" ht="20" customHeight="1">
      <c r="A31" s="3" t="inlineStr">
        <is>
          <t>Assumptions to Validate Once Live</t>
        </is>
      </c>
    </row>
    <row r="32" ht="60" customHeight="1">
      <c r="A32" s="27" t="inlineStr">
        <is>
          <t>CPM, Frequency, Engagement Rate, CTR and CVR inputs (white cells above) are India Meta planning benchmarks for a new EV-scooter brand - not eSprinto account data, since eSprinto's existing Meta history is the B2B dealership campaign, which is not comparable. CTR/CVR are set so cold prospecting (2A) lands at a higher, more realistic cost-per-lead than warm remarketing (2B), reflecting that warm audiences convert more efficiently. Replace any input with actual data once each ad set has 7 days live, and every formula in this sheet - plus the Media Plan and Detailed Media Plan summaries, which pull from these same cells - recalculates automatically.</t>
        </is>
      </c>
    </row>
  </sheetData>
  <mergeCells count="10">
    <mergeCell ref="A22:K22"/>
    <mergeCell ref="A4:U4"/>
    <mergeCell ref="A2:U2"/>
    <mergeCell ref="A29:U29"/>
    <mergeCell ref="A16:Q16"/>
    <mergeCell ref="A28:U28"/>
    <mergeCell ref="A10:Q10"/>
    <mergeCell ref="A32:U32"/>
    <mergeCell ref="A1:U1"/>
    <mergeCell ref="A31:U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6" customWidth="1" min="4" max="4"/>
    <col width="30" customWidth="1" min="5" max="5"/>
    <col width="40" customWidth="1" min="6" max="6"/>
    <col width="20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24" customHeight="1">
      <c r="A1" s="18" t="inlineStr">
        <is>
          <t>eSprinto G1 - Creative Strategy Requirement - Teaser Phase (Pre-Booking)</t>
        </is>
      </c>
    </row>
    <row r="2" ht="16" customHeight="1">
      <c r="A2" s="2" t="inlineStr">
        <is>
          <t>Top 4 concepts for Campaign 2 / Ad Set 2A + 2B (Pre-Booking, 3-12 Oct). Campaign 1 (Awareness) creative concepts to be added separately once agreed.</t>
        </is>
      </c>
    </row>
    <row r="4" ht="32" customHeight="1">
      <c r="A4" s="4" t="inlineStr">
        <is>
          <t>Phase</t>
        </is>
      </c>
      <c r="B4" s="4" t="inlineStr">
        <is>
          <t>Campaign</t>
        </is>
      </c>
      <c r="C4" s="4" t="inlineStr">
        <is>
          <t>Objective</t>
        </is>
      </c>
      <c r="D4" s="4" t="inlineStr">
        <is>
          <t>Format</t>
        </is>
      </c>
      <c r="E4" s="4" t="inlineStr">
        <is>
          <t>Formula</t>
        </is>
      </c>
      <c r="F4" s="4" t="inlineStr">
        <is>
          <t>Hook Style</t>
        </is>
      </c>
      <c r="G4" s="4" t="inlineStr">
        <is>
          <t>CTA</t>
        </is>
      </c>
      <c r="H4" s="4" t="inlineStr">
        <is>
          <t>Concept Reference</t>
        </is>
      </c>
      <c r="I4" s="4" t="inlineStr">
        <is>
          <t>Creative Copy
Timeline</t>
        </is>
      </c>
      <c r="J4" s="4" t="inlineStr">
        <is>
          <t>Creative Copy
Finalisation</t>
        </is>
      </c>
      <c r="K4" s="4" t="inlineStr">
        <is>
          <t>Creative
Timeline</t>
        </is>
      </c>
      <c r="L4" s="4" t="inlineStr">
        <is>
          <t>Final Drafts to
be ready by</t>
        </is>
      </c>
      <c r="M4" s="4" t="inlineStr">
        <is>
          <t>Client Review
Date</t>
        </is>
      </c>
      <c r="N4" s="4" t="inlineStr">
        <is>
          <t>Tentative Campaign
Launch Date</t>
        </is>
      </c>
    </row>
    <row r="5" ht="70" customHeight="1">
      <c r="A5" s="28" t="inlineStr">
        <is>
          <t>Teaser</t>
        </is>
      </c>
      <c r="B5" s="28" t="inlineStr">
        <is>
          <t>Campaign 2 - Pre-Booking (Ad Set 2A + 2B)</t>
        </is>
      </c>
      <c r="C5" s="28" t="inlineStr">
        <is>
          <t>Lead Generation - Pre-Booking / Test Ride Interest</t>
        </is>
      </c>
      <c r="D5" s="28" t="inlineStr">
        <is>
          <t>Static / Carousel</t>
        </is>
      </c>
      <c r="E5" s="28" t="inlineStr">
        <is>
          <t>Offer callout + low-friction booking amount + urgency line</t>
        </is>
      </c>
      <c r="F5" s="28" t="inlineStr">
        <is>
          <t>Value-led / deal-forward - e.g. "Reserve your eSprinto for just Rs.[X] - fully refundable. First [N] bookings get [early-bird perk]."</t>
        </is>
      </c>
      <c r="G5" s="28" t="inlineStr">
        <is>
          <t>Reserve Now / Book for Rs.[X]</t>
        </is>
      </c>
      <c r="H5" s="28" t="inlineStr">
        <is>
          <t>Pattern seen in TVS iQube cashback ad (Rs.17,300 cashback + Rs.2,100 booking amount) and Ampere Primus cashback ad (Rs.6,000 cash discount, time-boxed) - original eSprinto creative, not reused imagery</t>
        </is>
      </c>
      <c r="I5" s="29" t="n">
        <v>46282</v>
      </c>
      <c r="J5" s="29" t="n">
        <v>46283</v>
      </c>
      <c r="K5" s="29" t="n">
        <v>46287</v>
      </c>
      <c r="L5" s="29" t="n">
        <v>46288</v>
      </c>
      <c r="M5" s="29" t="n">
        <v>46290</v>
      </c>
      <c r="N5" s="29" t="n">
        <v>46298</v>
      </c>
    </row>
    <row r="6" ht="70" customHeight="1">
      <c r="A6" s="28" t="inlineStr">
        <is>
          <t>Teaser</t>
        </is>
      </c>
      <c r="B6" s="28" t="inlineStr">
        <is>
          <t>Campaign 2 - Pre-Booking (Ad Set 2A + 2B)</t>
        </is>
      </c>
      <c r="C6" s="28" t="inlineStr">
        <is>
          <t>Lead Generation - Pre-Booking / Test Ride Interest</t>
        </is>
      </c>
      <c r="D6" s="28" t="inlineStr">
        <is>
          <t>Carousel (city cards) / Static (per-city variant)</t>
        </is>
      </c>
      <c r="E6" s="28" t="inlineStr">
        <is>
          <t>City name + "coming to your city" + reserve CTA, run as localised variants across the 28 target cities</t>
        </is>
      </c>
      <c r="F6" s="28" t="inlineStr">
        <is>
          <t>Locality-led - e.g. "eSprinto is coming to Jaipur. Be one of the first to ride it - reserve your spot."</t>
        </is>
      </c>
      <c r="G6" s="28" t="inlineStr">
        <is>
          <t>Reserve Your Spot in [City]</t>
        </is>
      </c>
      <c r="H6" s="28" t="inlineStr">
        <is>
          <t>Pattern seen in Hero Destini 125 "Booking Open @Jamnagar" ad - original eSprinto creative, not reused imagery</t>
        </is>
      </c>
      <c r="I6" s="29" t="n">
        <v>46282</v>
      </c>
      <c r="J6" s="29" t="n">
        <v>46283</v>
      </c>
      <c r="K6" s="29" t="n">
        <v>46288</v>
      </c>
      <c r="L6" s="29" t="n">
        <v>46289</v>
      </c>
      <c r="M6" s="29" t="n">
        <v>46291</v>
      </c>
      <c r="N6" s="29" t="n">
        <v>46298</v>
      </c>
    </row>
    <row r="7" ht="70" customHeight="1">
      <c r="A7" s="28" t="inlineStr">
        <is>
          <t>Teaser</t>
        </is>
      </c>
      <c r="B7" s="28" t="inlineStr">
        <is>
          <t>Campaign 2 - Pre-Booking (Ad Set 2A + 2B)</t>
        </is>
      </c>
      <c r="C7" s="28" t="inlineStr">
        <is>
          <t>Lead Generation - Pre-Booking / Test Ride Interest</t>
        </is>
      </c>
      <c r="D7" s="28" t="inlineStr">
        <is>
          <t>Video (short animated explainer / talking head)</t>
        </is>
      </c>
      <c r="E7" s="28" t="inlineStr">
        <is>
          <t>Problem (petrol cost) + Insight (monthly savings math) + CTA</t>
        </is>
      </c>
      <c r="F7" s="28" t="inlineStr">
        <is>
          <t>Savings-led / rational - e.g. "You spent Rs.[X] on petrol last month. On eSprinto, that's Rs.[Y]. Reserve your test ride and see the difference."</t>
        </is>
      </c>
      <c r="G7" s="28" t="inlineStr">
        <is>
          <t>Calculate Your Savings / Reserve a Test Ride</t>
        </is>
      </c>
      <c r="H7" s="28" t="inlineStr">
        <is>
          <t>No direct competitor reference in the reviewed set - built from eSprinto's own validated savings positioning (brief: Rs.2,000-4,200/month savings vs petrol)</t>
        </is>
      </c>
      <c r="I7" s="29" t="n">
        <v>46281</v>
      </c>
      <c r="J7" s="29" t="n">
        <v>46283</v>
      </c>
      <c r="K7" s="29" t="n">
        <v>46292</v>
      </c>
      <c r="L7" s="29" t="n">
        <v>46293</v>
      </c>
      <c r="M7" s="29" t="n">
        <v>46295</v>
      </c>
      <c r="N7" s="29" t="n">
        <v>46298</v>
      </c>
    </row>
    <row r="8" ht="70" customHeight="1">
      <c r="A8" s="28" t="inlineStr">
        <is>
          <t>Teaser</t>
        </is>
      </c>
      <c r="B8" s="28" t="inlineStr">
        <is>
          <t>Campaign 2 - Pre-Booking (Ad Set 2A + 2B)</t>
        </is>
      </c>
      <c r="C8" s="28" t="inlineStr">
        <is>
          <t>Lead Generation - Pre-Booking / Test Ride Interest</t>
        </is>
      </c>
      <c r="D8" s="28" t="inlineStr">
        <is>
          <t>Story / Reel (short-form, 10-15 sec)</t>
        </is>
      </c>
      <c r="E8" s="28" t="inlineStr">
        <is>
          <t>Countdown/urgency + scarcity line + CTA - refresh every 2-3 days as date/count changes</t>
        </is>
      </c>
      <c r="F8" s="28" t="inlineStr">
        <is>
          <t>Urgency-led - e.g. "13 October. [X] days left to reserve before launch." / "Early-bird slots filling up - [Y] riders already registered."</t>
        </is>
      </c>
      <c r="G8" s="28" t="inlineStr">
        <is>
          <t>Reserve Before Launch</t>
        </is>
      </c>
      <c r="H8" s="28" t="inlineStr">
        <is>
          <t>No direct reference in the reviewed set - all 10 references were live booking/purchase ads, not pre-launch countdown creative; genuinely new territory for this set</t>
        </is>
      </c>
      <c r="I8" s="29" t="n">
        <v>46284</v>
      </c>
      <c r="J8" s="29" t="n">
        <v>46285</v>
      </c>
      <c r="K8" s="29" t="n">
        <v>46290</v>
      </c>
      <c r="L8" s="29" t="n">
        <v>46291</v>
      </c>
      <c r="M8" s="29" t="n">
        <v>46293</v>
      </c>
      <c r="N8" s="29" t="n">
        <v>46298</v>
      </c>
    </row>
    <row r="10" ht="20" customHeight="1">
      <c r="A10" s="3" t="inlineStr">
        <is>
          <t>Notes</t>
        </is>
      </c>
    </row>
    <row r="11" ht="48" customHeight="1">
      <c r="A11" s="14" t="inlineStr">
        <is>
          <t>Source of reference patterns</t>
        </is>
      </c>
      <c r="B11" s="15" t="inlineStr">
        <is>
          <t>Analysed from 10 competitor/dealer creative references (Honda ADV160, TVS dealer lineups, Honda festive multi-model, Ampere x2, Bajaj Chetak, Hero Destini, TVS iQube) shared via Esprinto-Creative-References.rtf - grouped into 6 territories present in the references (Incentive Trigger, Local Proof, Spec Credibility, Lifestyle Aspiration, Segment Fit, Positioning Claim) plus 4 territories identified as missing/valuable but not used by any reference (The Math That Sells Itself, Real Riders Real Cities, Earning Trust as the New Kid, The Countdown). These 4 rows are the top picks for pre-booking specifically.</t>
        </is>
      </c>
    </row>
    <row r="12" ht="48" customHeight="1">
      <c r="A12" s="14" t="inlineStr">
        <is>
          <t>Why these 4 and not the others</t>
        </is>
      </c>
      <c r="B12" s="15" t="inlineStr">
        <is>
          <t>Spec Credibility and Positioning Claim need a product reveal not available until Launch (13 Oct). Lifestyle Aspiration and Segment Fit build brand relevance but don't drive a specific pre-booking action - better suited to Campaign 1 (Awareness). Trust-building (new-brand credibility) is a longer-arc job than a 10-day pre-booking push can carry alone.</t>
        </is>
      </c>
    </row>
    <row r="13" ht="32" customHeight="1">
      <c r="A13" s="14" t="inlineStr">
        <is>
          <t>Campaign 1 (Awareness) creative</t>
        </is>
      </c>
      <c r="B13" s="15" t="inlineStr">
        <is>
          <t>Not yet built - to be added once concepts are agreed, likely drawing on Lifestyle Aspiration and Segment Fit territories.</t>
        </is>
      </c>
    </row>
  </sheetData>
  <mergeCells count="3">
    <mergeCell ref="A10:N10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2026-09-15T12:14:05Z</dcterms:created>
  <dcterms:modified xmlns:dcterms="http://purl.org/dc/terms/" xmlns:xsi="http://www.w3.org/2001/XMLSchema-instance" xsi:type="dcterms:W3CDTF">2026-09-15T12:14:05Z</dcterms:modified>
</cp:coreProperties>
</file>